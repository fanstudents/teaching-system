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shr1.sharepoint.com/sites/SCSHR/Shared Documents/General/共用文件/SCS_Sales 共用/Dora-暫存/後勤報告文件/提供kt範例/"/>
    </mc:Choice>
  </mc:AlternateContent>
  <xr:revisionPtr revIDLastSave="61" documentId="8_{353CD77B-EFC4-4104-9DF6-62957F173B14}" xr6:coauthVersionLast="47" xr6:coauthVersionMax="47" xr10:uidLastSave="{49022F93-F413-4AB2-93F4-9E6EE3ABE203}"/>
  <bookViews>
    <workbookView xWindow="-108" yWindow="-108" windowWidth="23256" windowHeight="12456" tabRatio="824" xr2:uid="{00000000-000D-0000-FFFF-FFFF00000000}"/>
  </bookViews>
  <sheets>
    <sheet name="發票明細" sheetId="2" r:id="rId1"/>
  </sheets>
  <definedNames>
    <definedName name="_xlnm._FilterDatabase" localSheetId="0" hidden="1">發票明細!$A$1:$T$6</definedName>
    <definedName name="OLE_LINK1" localSheetId="0">發票明細!#REF!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</calcChain>
</file>

<file path=xl/sharedStrings.xml><?xml version="1.0" encoding="utf-8"?>
<sst xmlns="http://schemas.openxmlformats.org/spreadsheetml/2006/main" count="69" uniqueCount="55">
  <si>
    <t>開立日期</t>
    <phoneticPr fontId="1" type="noConversion"/>
  </si>
  <si>
    <t>客戶代號</t>
    <phoneticPr fontId="1" type="noConversion"/>
  </si>
  <si>
    <t>稅金</t>
    <phoneticPr fontId="1" type="noConversion"/>
  </si>
  <si>
    <t>總金額</t>
    <phoneticPr fontId="1" type="noConversion"/>
  </si>
  <si>
    <t>發票號碼</t>
    <phoneticPr fontId="1" type="noConversion"/>
  </si>
  <si>
    <t>客戶名稱</t>
    <phoneticPr fontId="1" type="noConversion"/>
  </si>
  <si>
    <t>開立金額</t>
    <phoneticPr fontId="1" type="noConversion"/>
  </si>
  <si>
    <t>類別</t>
    <phoneticPr fontId="2" type="noConversion"/>
  </si>
  <si>
    <t>發票內容</t>
    <phoneticPr fontId="2" type="noConversion"/>
  </si>
  <si>
    <t>0租1買2開3保4其5外6助7總8財</t>
    <phoneticPr fontId="1" type="noConversion"/>
  </si>
  <si>
    <t>發票窗口</t>
    <phoneticPr fontId="1" type="noConversion"/>
  </si>
  <si>
    <t xml:space="preserve"> </t>
    <phoneticPr fontId="2" type="noConversion"/>
  </si>
  <si>
    <t>買斷</t>
  </si>
  <si>
    <t>匯款日期</t>
    <phoneticPr fontId="2" type="noConversion"/>
  </si>
  <si>
    <t>匯入金額</t>
  </si>
  <si>
    <t>付款
條件</t>
    <phoneticPr fontId="2" type="noConversion"/>
  </si>
  <si>
    <t>帳款
到期日</t>
    <phoneticPr fontId="2" type="noConversion"/>
  </si>
  <si>
    <t>備註</t>
    <phoneticPr fontId="2" type="noConversion"/>
  </si>
  <si>
    <t>後勤-3</t>
    <phoneticPr fontId="2" type="noConversion"/>
  </si>
  <si>
    <t>雲端</t>
    <phoneticPr fontId="2" type="noConversion"/>
  </si>
  <si>
    <t>後勤-0</t>
    <phoneticPr fontId="2" type="noConversion"/>
  </si>
  <si>
    <t>月結30</t>
    <phoneticPr fontId="2" type="noConversion"/>
  </si>
  <si>
    <t>預計3/31匯款</t>
    <phoneticPr fontId="2" type="noConversion"/>
  </si>
  <si>
    <t>月結30</t>
  </si>
  <si>
    <t>月結45</t>
  </si>
  <si>
    <t>客回匯款日</t>
    <phoneticPr fontId="1" type="noConversion"/>
  </si>
  <si>
    <t>XD87654321</t>
    <phoneticPr fontId="2" type="noConversion"/>
  </si>
  <si>
    <t>XD87654322</t>
  </si>
  <si>
    <t>XD87654323</t>
  </si>
  <si>
    <t>XD87654324</t>
  </si>
  <si>
    <t>XD87654325</t>
  </si>
  <si>
    <t>annie</t>
    <phoneticPr fontId="2" type="noConversion"/>
  </si>
  <si>
    <t>angle</t>
    <phoneticPr fontId="2" type="noConversion"/>
  </si>
  <si>
    <t>mark</t>
    <phoneticPr fontId="2" type="noConversion"/>
  </si>
  <si>
    <t>tom</t>
    <phoneticPr fontId="2" type="noConversion"/>
  </si>
  <si>
    <t>jreey</t>
    <phoneticPr fontId="2" type="noConversion"/>
  </si>
  <si>
    <t>xxx@kimo.com</t>
    <phoneticPr fontId="2" type="noConversion"/>
  </si>
  <si>
    <t>xxx@ty.tonlin.com.tw</t>
    <phoneticPr fontId="2" type="noConversion"/>
  </si>
  <si>
    <t xml:space="preserve">xxx@protech.com.tw </t>
    <phoneticPr fontId="2" type="noConversion"/>
  </si>
  <si>
    <t>xxx1@kindom.com.tw</t>
    <phoneticPr fontId="2" type="noConversion"/>
  </si>
  <si>
    <t>xxx@kindom.com.tw</t>
    <phoneticPr fontId="2" type="noConversion"/>
  </si>
  <si>
    <t>C00999</t>
    <phoneticPr fontId="2" type="noConversion"/>
  </si>
  <si>
    <t>C00998</t>
    <phoneticPr fontId="2" type="noConversion"/>
  </si>
  <si>
    <t>C00997</t>
  </si>
  <si>
    <t>C00996</t>
  </si>
  <si>
    <t>C00995</t>
  </si>
  <si>
    <t>測試股份有限公司</t>
    <phoneticPr fontId="2" type="noConversion"/>
  </si>
  <si>
    <t>發票有限公司桃園分公司</t>
    <phoneticPr fontId="2" type="noConversion"/>
  </si>
  <si>
    <t>資訊股份有限公司</t>
    <phoneticPr fontId="2" type="noConversion"/>
  </si>
  <si>
    <t>建設股份有限公司</t>
    <phoneticPr fontId="2" type="noConversion"/>
  </si>
  <si>
    <t xml:space="preserve">購物中心股份有限公司	 </t>
    <phoneticPr fontId="2" type="noConversion"/>
  </si>
  <si>
    <t>雲端租賃三年</t>
    <phoneticPr fontId="2" type="noConversion"/>
  </si>
  <si>
    <t>維護保固一年</t>
    <phoneticPr fontId="2" type="noConversion"/>
  </si>
  <si>
    <t>維護保固三年</t>
    <phoneticPr fontId="2" type="noConversion"/>
  </si>
  <si>
    <t>mail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</si>
</sst>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#,##0_);[Red]\(#,##0\)"/>
    <numFmt numFmtId="177" formatCode="m&quot;月&quot;d&quot;日&quot;"/>
    <numFmt numFmtId="178" formatCode="_-* #,##0_-;\-* #,##0_-;_-* &quot;-&quot;??_-;_-@_-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0"/>
      <color theme="1"/>
      <name val="微軟正黑體"/>
      <family val="2"/>
      <charset val="136"/>
    </font>
    <font>
      <sz val="10"/>
      <color theme="4"/>
      <name val="微軟正黑體"/>
      <family val="2"/>
      <charset val="136"/>
    </font>
    <font>
      <b/>
      <sz val="10"/>
      <color theme="5"/>
      <name val="微軟正黑體"/>
      <family val="2"/>
      <charset val="136"/>
    </font>
    <font>
      <sz val="10"/>
      <color theme="9" tint="-0.249977111117893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2">
    <xf numFmtId="0" fontId="0" fillId="0" borderId="0">
      <alignment vertical="center"/>
    </xf>
    <xf numFmtId="0" fontId="3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horizontal="left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7" fillId="0" borderId="0" xfId="0" applyFont="1" applyAlignment="1">
      <alignment vertical="top"/>
    </xf>
    <xf numFmtId="14" fontId="7" fillId="0" borderId="3" xfId="0" applyNumberFormat="1" applyFont="1" applyBorder="1" applyAlignment="1">
      <alignment horizontal="left" vertical="top"/>
    </xf>
    <xf numFmtId="176" fontId="7" fillId="0" borderId="3" xfId="0" applyNumberFormat="1" applyFont="1" applyBorder="1" applyAlignment="1">
      <alignment horizontal="left" vertical="top"/>
    </xf>
    <xf numFmtId="14" fontId="7" fillId="0" borderId="1" xfId="0" applyNumberFormat="1" applyFont="1" applyBorder="1" applyAlignment="1">
      <alignment vertical="top"/>
    </xf>
    <xf numFmtId="176" fontId="7" fillId="0" borderId="3" xfId="0" applyNumberFormat="1" applyFont="1" applyBorder="1" applyAlignment="1">
      <alignment horizontal="right" vertical="top"/>
    </xf>
    <xf numFmtId="176" fontId="7" fillId="0" borderId="3" xfId="0" applyNumberFormat="1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2" borderId="1" xfId="0" applyFont="1" applyFill="1" applyBorder="1" applyAlignment="1">
      <alignment horizontal="center" vertical="top"/>
    </xf>
    <xf numFmtId="176" fontId="7" fillId="2" borderId="1" xfId="0" applyNumberFormat="1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178" fontId="7" fillId="0" borderId="3" xfId="6" applyNumberFormat="1" applyFont="1" applyBorder="1" applyAlignment="1">
      <alignment horizontal="right" vertical="top"/>
    </xf>
    <xf numFmtId="0" fontId="7" fillId="0" borderId="1" xfId="0" quotePrefix="1" applyFont="1" applyBorder="1" applyAlignment="1">
      <alignment vertical="top"/>
    </xf>
    <xf numFmtId="178" fontId="7" fillId="2" borderId="1" xfId="6" applyNumberFormat="1" applyFont="1" applyFill="1" applyBorder="1" applyAlignment="1">
      <alignment horizontal="center" vertical="top"/>
    </xf>
    <xf numFmtId="14" fontId="7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/>
    </xf>
    <xf numFmtId="14" fontId="7" fillId="3" borderId="1" xfId="0" applyNumberFormat="1" applyFont="1" applyFill="1" applyBorder="1" applyAlignment="1">
      <alignment horizontal="left" vertical="top" wrapText="1"/>
    </xf>
    <xf numFmtId="1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78" fontId="7" fillId="0" borderId="0" xfId="6" applyNumberFormat="1" applyFont="1" applyAlignment="1">
      <alignment vertical="top"/>
    </xf>
    <xf numFmtId="14" fontId="7" fillId="4" borderId="1" xfId="0" applyNumberFormat="1" applyFont="1" applyFill="1" applyBorder="1" applyAlignment="1">
      <alignment horizontal="left" vertical="top"/>
    </xf>
    <xf numFmtId="178" fontId="7" fillId="4" borderId="1" xfId="6" applyNumberFormat="1" applyFont="1" applyFill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177" fontId="8" fillId="0" borderId="3" xfId="0" applyNumberFormat="1" applyFont="1" applyBorder="1" applyAlignment="1">
      <alignment horizontal="left" vertical="top"/>
    </xf>
    <xf numFmtId="0" fontId="7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9" fillId="0" borderId="0" xfId="0" applyFont="1" applyAlignment="1">
      <alignment vertical="top"/>
    </xf>
    <xf numFmtId="177" fontId="10" fillId="0" borderId="3" xfId="0" applyNumberFormat="1" applyFont="1" applyBorder="1" applyAlignment="1">
      <alignment horizontal="left" vertical="top"/>
    </xf>
    <xf numFmtId="14" fontId="7" fillId="3" borderId="2" xfId="0" applyNumberFormat="1" applyFont="1" applyFill="1" applyBorder="1" applyAlignment="1">
      <alignment horizontal="center" vertical="top"/>
    </xf>
    <xf numFmtId="14" fontId="8" fillId="0" borderId="3" xfId="0" applyNumberFormat="1" applyFont="1" applyBorder="1" applyAlignment="1">
      <alignment horizontal="left" vertical="top"/>
    </xf>
  </cellXfs>
  <cellStyles count="32">
    <cellStyle name="一般" xfId="0" builtinId="0"/>
    <cellStyle name="一般 2" xfId="1" xr:uid="{00000000-0005-0000-0000-000001000000}"/>
    <cellStyle name="一般 2 2" xfId="4" xr:uid="{00000000-0005-0000-0000-000002000000}"/>
    <cellStyle name="一般 5" xfId="5" xr:uid="{6A6F56DE-8FD4-4EEF-B1EF-B0B04DD4695C}"/>
    <cellStyle name="千分位" xfId="6" builtinId="3"/>
    <cellStyle name="千分位 10" xfId="28" xr:uid="{133C717C-255C-4912-A56F-2F2BDDD7293C}"/>
    <cellStyle name="千分位 11" xfId="29" xr:uid="{B032D7D5-D279-4837-AC9B-02768CE0B735}"/>
    <cellStyle name="千分位 12" xfId="31" xr:uid="{5B2CF2E0-9F2D-449F-B99F-64C6D1677A49}"/>
    <cellStyle name="千分位 15" xfId="30" xr:uid="{02FE3A93-F347-403C-B1C4-EABC8EFC2E5C}"/>
    <cellStyle name="千分位 2" xfId="2" xr:uid="{00000000-0005-0000-0000-000003000000}"/>
    <cellStyle name="千分位 2 2" xfId="3" xr:uid="{00000000-0005-0000-0000-000004000000}"/>
    <cellStyle name="千分位 2 2 2" xfId="8" xr:uid="{7320A63E-98EF-4E89-849B-6BC766E4190C}"/>
    <cellStyle name="千分位 2 2 2 2" xfId="16" xr:uid="{45B520D9-B5D5-4BD1-BE0C-235E8B20F429}"/>
    <cellStyle name="千分位 2 2 2 3" xfId="24" xr:uid="{577425B6-C10B-41C0-9291-3BA3272E2B0C}"/>
    <cellStyle name="千分位 2 2 3" xfId="10" xr:uid="{3F9EC047-2F8A-40E8-A373-50307D7FD57C}"/>
    <cellStyle name="千分位 2 2 3 2" xfId="18" xr:uid="{6D3E01F4-712A-4533-BA8D-2F2F840A7C03}"/>
    <cellStyle name="千分位 2 2 3 3" xfId="26" xr:uid="{25602681-F9F3-495F-9AD2-4A4AA0843E53}"/>
    <cellStyle name="千分位 2 2 4" xfId="13" xr:uid="{402BD464-A838-4AEF-BB86-0841FC5B533B}"/>
    <cellStyle name="千分位 2 2 5" xfId="21" xr:uid="{BD18003D-9901-49C0-802F-282E4FC79C34}"/>
    <cellStyle name="千分位 2 3" xfId="7" xr:uid="{7EB1B5E6-BFE8-41A4-9930-F613FBB0994F}"/>
    <cellStyle name="千分位 2 3 2" xfId="15" xr:uid="{FB1994CD-2165-493D-BB6C-66B82C8307BF}"/>
    <cellStyle name="千分位 2 3 3" xfId="23" xr:uid="{5571E8B1-BCCA-4A2B-8AA1-845B88B415D2}"/>
    <cellStyle name="千分位 2 4" xfId="9" xr:uid="{33E6203D-7755-435F-B189-071F0F100114}"/>
    <cellStyle name="千分位 2 4 2" xfId="17" xr:uid="{431F95BF-D190-4CF6-81A3-69DC81A91CC3}"/>
    <cellStyle name="千分位 2 4 3" xfId="25" xr:uid="{CF257590-2ADE-442C-9817-E1685FD3E743}"/>
    <cellStyle name="千分位 2 5" xfId="12" xr:uid="{B54DB0E7-4525-43FA-BCA2-A0689EFF6441}"/>
    <cellStyle name="千分位 2 6" xfId="20" xr:uid="{8865EC7E-804D-4CE5-9714-F847EF986859}"/>
    <cellStyle name="千分位 3" xfId="11" xr:uid="{BD7DFFCC-16B2-4C12-BB8A-F081BBE4231A}"/>
    <cellStyle name="千分位 3 2" xfId="19" xr:uid="{F45FF7AF-027B-4C69-8C25-9991C11854C1}"/>
    <cellStyle name="千分位 3 3" xfId="27" xr:uid="{4A342E5B-C4E9-4607-8751-C08C2CD21D75}"/>
    <cellStyle name="千分位 4" xfId="14" xr:uid="{42739FF4-5CF4-4C23-AF7D-1942CF206B64}"/>
    <cellStyle name="千分位 5" xfId="22" xr:uid="{3262FD9C-15EC-4FC8-95AD-76C40B1E8D0E}"/>
  </cellStyles>
  <dxfs count="0"/>
  <tableStyles count="0" defaultTableStyle="TableStyleMedium2" defaultPivotStyle="PivotStyleLight16"/>
  <colors>
    <mruColors>
      <color rgb="FFFDF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zoomScale="120" zoomScaleNormal="12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6" sqref="H6"/>
    </sheetView>
  </sheetViews>
  <sheetFormatPr defaultColWidth="8.77734375" defaultRowHeight="13.8" x14ac:dyDescent="0.3"/>
  <cols>
    <col min="1" max="1" width="9.21875" style="18" customWidth="1"/>
    <col min="2" max="2" width="9.44140625" style="1" customWidth="1"/>
    <col min="3" max="3" width="6.33203125" style="1" customWidth="1"/>
    <col min="4" max="4" width="21.77734375" style="1" customWidth="1"/>
    <col min="5" max="5" width="14.77734375" style="1" customWidth="1"/>
    <col min="6" max="6" width="10.77734375" style="1" customWidth="1"/>
    <col min="7" max="7" width="10.77734375" style="20" customWidth="1"/>
    <col min="8" max="8" width="10.5546875" style="20" customWidth="1"/>
    <col min="9" max="9" width="13.5546875" style="19" customWidth="1"/>
    <col min="10" max="10" width="10.77734375" style="1" customWidth="1"/>
    <col min="11" max="11" width="12" style="18" customWidth="1"/>
    <col min="12" max="13" width="10.44140625" style="1" customWidth="1"/>
    <col min="14" max="14" width="3.33203125" style="1" bestFit="1" customWidth="1"/>
    <col min="15" max="15" width="7.5546875" style="1" customWidth="1"/>
    <col min="16" max="16" width="11.5546875" style="18" customWidth="1"/>
    <col min="17" max="17" width="11.21875" style="18" customWidth="1"/>
    <col min="18" max="18" width="12.44140625" style="20" customWidth="1"/>
    <col min="19" max="19" width="20" style="1" customWidth="1"/>
    <col min="20" max="20" width="6.109375" style="27" bestFit="1" customWidth="1"/>
    <col min="21" max="16384" width="8.77734375" style="1"/>
  </cols>
  <sheetData>
    <row r="1" spans="1:20" ht="41.4" x14ac:dyDescent="0.3">
      <c r="A1" s="15" t="s">
        <v>0</v>
      </c>
      <c r="B1" s="9" t="s">
        <v>1</v>
      </c>
      <c r="C1" s="9" t="s">
        <v>7</v>
      </c>
      <c r="D1" s="9" t="s">
        <v>5</v>
      </c>
      <c r="E1" s="9" t="s">
        <v>8</v>
      </c>
      <c r="F1" s="10" t="s">
        <v>6</v>
      </c>
      <c r="G1" s="14" t="s">
        <v>2</v>
      </c>
      <c r="H1" s="14" t="s">
        <v>3</v>
      </c>
      <c r="I1" s="9" t="s">
        <v>4</v>
      </c>
      <c r="J1" s="11" t="s">
        <v>9</v>
      </c>
      <c r="K1" s="29" t="s">
        <v>25</v>
      </c>
      <c r="L1" s="11" t="s">
        <v>10</v>
      </c>
      <c r="M1" s="16" t="s">
        <v>54</v>
      </c>
      <c r="N1" s="16"/>
      <c r="O1" s="26" t="s">
        <v>15</v>
      </c>
      <c r="P1" s="17" t="s">
        <v>16</v>
      </c>
      <c r="Q1" s="21" t="s">
        <v>13</v>
      </c>
      <c r="R1" s="22" t="s">
        <v>14</v>
      </c>
      <c r="S1" s="7" t="s">
        <v>17</v>
      </c>
    </row>
    <row r="2" spans="1:20" x14ac:dyDescent="0.3">
      <c r="A2" s="2">
        <v>46027</v>
      </c>
      <c r="B2" s="3" t="s">
        <v>41</v>
      </c>
      <c r="C2" s="4" t="s">
        <v>19</v>
      </c>
      <c r="D2" s="4" t="s">
        <v>46</v>
      </c>
      <c r="E2" s="7" t="s">
        <v>51</v>
      </c>
      <c r="F2" s="5">
        <v>4762</v>
      </c>
      <c r="G2" s="12">
        <v>238</v>
      </c>
      <c r="H2" s="12">
        <v>5000</v>
      </c>
      <c r="I2" s="6" t="s">
        <v>26</v>
      </c>
      <c r="J2" s="7" t="s">
        <v>20</v>
      </c>
      <c r="K2" s="30">
        <v>46081</v>
      </c>
      <c r="L2" s="8" t="s">
        <v>31</v>
      </c>
      <c r="M2" s="13" t="s">
        <v>36</v>
      </c>
      <c r="N2" s="7" t="s">
        <v>11</v>
      </c>
      <c r="O2" s="7" t="s">
        <v>21</v>
      </c>
      <c r="P2" s="2">
        <v>46081</v>
      </c>
      <c r="Q2" s="21"/>
      <c r="R2" s="22"/>
      <c r="S2" s="7"/>
      <c r="T2" s="1" t="e">
        <f>VLOOKUP(B2,#REF!,4,0)</f>
        <v>#REF!</v>
      </c>
    </row>
    <row r="3" spans="1:20" x14ac:dyDescent="0.3">
      <c r="A3" s="2">
        <v>46028</v>
      </c>
      <c r="B3" s="3" t="s">
        <v>42</v>
      </c>
      <c r="C3" s="4" t="s">
        <v>12</v>
      </c>
      <c r="D3" s="4" t="s">
        <v>47</v>
      </c>
      <c r="E3" s="7" t="s">
        <v>52</v>
      </c>
      <c r="F3" s="5">
        <v>3810</v>
      </c>
      <c r="G3" s="12">
        <v>190</v>
      </c>
      <c r="H3" s="12">
        <v>4000</v>
      </c>
      <c r="I3" s="6" t="s">
        <v>27</v>
      </c>
      <c r="J3" s="7" t="s">
        <v>18</v>
      </c>
      <c r="K3" s="30">
        <v>46096</v>
      </c>
      <c r="L3" s="8" t="s">
        <v>33</v>
      </c>
      <c r="M3" s="13" t="s">
        <v>37</v>
      </c>
      <c r="N3" s="7" t="s">
        <v>11</v>
      </c>
      <c r="O3" s="7" t="s">
        <v>24</v>
      </c>
      <c r="P3" s="2">
        <v>46096</v>
      </c>
      <c r="Q3" s="21"/>
      <c r="R3" s="22"/>
      <c r="S3" s="25"/>
      <c r="T3" s="1" t="e">
        <f>VLOOKUP(B3,#REF!,4,0)</f>
        <v>#REF!</v>
      </c>
    </row>
    <row r="4" spans="1:20" x14ac:dyDescent="0.3">
      <c r="A4" s="2">
        <v>46028</v>
      </c>
      <c r="B4" s="3" t="s">
        <v>43</v>
      </c>
      <c r="C4" s="4" t="s">
        <v>19</v>
      </c>
      <c r="D4" s="4" t="s">
        <v>48</v>
      </c>
      <c r="E4" s="7" t="s">
        <v>53</v>
      </c>
      <c r="F4" s="5">
        <v>2857</v>
      </c>
      <c r="G4" s="12">
        <v>143</v>
      </c>
      <c r="H4" s="12">
        <v>3000</v>
      </c>
      <c r="I4" s="6" t="s">
        <v>28</v>
      </c>
      <c r="J4" s="7" t="s">
        <v>18</v>
      </c>
      <c r="K4" s="28"/>
      <c r="L4" s="8" t="s">
        <v>32</v>
      </c>
      <c r="M4" s="13" t="s">
        <v>38</v>
      </c>
      <c r="N4" s="7" t="s">
        <v>11</v>
      </c>
      <c r="O4" s="23" t="s">
        <v>23</v>
      </c>
      <c r="P4" s="2">
        <v>46053</v>
      </c>
      <c r="Q4" s="21"/>
      <c r="R4" s="22"/>
      <c r="S4" s="25"/>
      <c r="T4" s="1" t="e">
        <f>VLOOKUP(B4,#REF!,4,0)</f>
        <v>#REF!</v>
      </c>
    </row>
    <row r="5" spans="1:20" x14ac:dyDescent="0.3">
      <c r="A5" s="2">
        <v>46028</v>
      </c>
      <c r="B5" s="3" t="s">
        <v>44</v>
      </c>
      <c r="C5" s="4" t="s">
        <v>12</v>
      </c>
      <c r="D5" s="4" t="s">
        <v>49</v>
      </c>
      <c r="E5" s="7" t="s">
        <v>53</v>
      </c>
      <c r="F5" s="5">
        <v>1905</v>
      </c>
      <c r="G5" s="12">
        <v>95</v>
      </c>
      <c r="H5" s="12">
        <v>2000</v>
      </c>
      <c r="I5" s="6" t="s">
        <v>29</v>
      </c>
      <c r="J5" s="7" t="s">
        <v>18</v>
      </c>
      <c r="K5" s="24" t="s">
        <v>22</v>
      </c>
      <c r="L5" s="8" t="s">
        <v>34</v>
      </c>
      <c r="M5" s="13" t="s">
        <v>39</v>
      </c>
      <c r="N5" s="7" t="s">
        <v>11</v>
      </c>
      <c r="O5" s="23" t="s">
        <v>23</v>
      </c>
      <c r="P5" s="2">
        <v>46081</v>
      </c>
      <c r="Q5" s="21"/>
      <c r="R5" s="22"/>
      <c r="S5" s="25"/>
      <c r="T5" s="1" t="e">
        <f>VLOOKUP(B5,#REF!,4,0)</f>
        <v>#REF!</v>
      </c>
    </row>
    <row r="6" spans="1:20" x14ac:dyDescent="0.3">
      <c r="A6" s="2">
        <v>46028</v>
      </c>
      <c r="B6" s="3" t="s">
        <v>45</v>
      </c>
      <c r="C6" s="4" t="s">
        <v>12</v>
      </c>
      <c r="D6" s="4" t="s">
        <v>50</v>
      </c>
      <c r="E6" s="7" t="s">
        <v>53</v>
      </c>
      <c r="F6" s="5">
        <v>952</v>
      </c>
      <c r="G6" s="12">
        <v>48</v>
      </c>
      <c r="H6" s="12">
        <v>1000</v>
      </c>
      <c r="I6" s="6" t="s">
        <v>30</v>
      </c>
      <c r="J6" s="7" t="s">
        <v>18</v>
      </c>
      <c r="K6" s="24"/>
      <c r="L6" s="8" t="s">
        <v>35</v>
      </c>
      <c r="M6" s="13" t="s">
        <v>40</v>
      </c>
      <c r="N6" s="7" t="s">
        <v>11</v>
      </c>
      <c r="O6" s="23" t="s">
        <v>23</v>
      </c>
      <c r="P6" s="2">
        <v>46081</v>
      </c>
      <c r="Q6" s="21"/>
      <c r="R6" s="22"/>
      <c r="S6" s="7"/>
      <c r="T6" s="1" t="e">
        <f>VLOOKUP(B6,#REF!,4,0)</f>
        <v>#REF!</v>
      </c>
    </row>
  </sheetData>
  <autoFilter ref="A1:T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0C4D89A48F9404387A2BF42E1EE63B1" ma:contentTypeVersion="21" ma:contentTypeDescription="建立新的文件。" ma:contentTypeScope="" ma:versionID="d9eade0d5a5884e3066cd8d4430b510f">
  <xsd:schema xmlns:xsd="http://www.w3.org/2001/XMLSchema" xmlns:xs="http://www.w3.org/2001/XMLSchema" xmlns:p="http://schemas.microsoft.com/office/2006/metadata/properties" xmlns:ns1="http://schemas.microsoft.com/sharepoint/v3" xmlns:ns2="67412ea4-cd21-4154-9625-9f8a0d02924c" xmlns:ns3="019e09ac-f118-4b47-be76-c84d209f8f5f" targetNamespace="http://schemas.microsoft.com/office/2006/metadata/properties" ma:root="true" ma:fieldsID="b5a6f71e098a553f80587c21d05f4252" ns1:_="" ns2:_="" ns3:_="">
    <xsd:import namespace="http://schemas.microsoft.com/sharepoint/v3"/>
    <xsd:import namespace="67412ea4-cd21-4154-9625-9f8a0d02924c"/>
    <xsd:import namespace="019e09ac-f118-4b47-be76-c84d209f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2ea4-cd21-4154-9625-9f8a0d029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53fdea3-48f5-487f-adcb-e001c0004e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09ac-f118-4b47-be76-c84d209f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d20fd4-84a1-467a-977f-79f2c13d4372}" ma:internalName="TaxCatchAll" ma:showField="CatchAllData" ma:web="019e09ac-f118-4b47-be76-c84d209f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7412ea4-cd21-4154-9625-9f8a0d02924c">
      <Terms xmlns="http://schemas.microsoft.com/office/infopath/2007/PartnerControls"/>
    </lcf76f155ced4ddcb4097134ff3c332f>
    <TaxCatchAll xmlns="019e09ac-f118-4b47-be76-c84d209f8f5f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B21A34-F3C6-4E12-97DE-C1087431E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412ea4-cd21-4154-9625-9f8a0d02924c"/>
    <ds:schemaRef ds:uri="019e09ac-f118-4b47-be76-c84d209f8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0B5EB-6454-4040-8A6A-B30B20D7663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7412ea4-cd21-4154-9625-9f8a0d02924c"/>
    <ds:schemaRef ds:uri="019e09ac-f118-4b47-be76-c84d209f8f5f"/>
  </ds:schemaRefs>
</ds:datastoreItem>
</file>

<file path=customXml/itemProps3.xml><?xml version="1.0" encoding="utf-8"?>
<ds:datastoreItem xmlns:ds="http://schemas.openxmlformats.org/officeDocument/2006/customXml" ds:itemID="{538AA211-D6B5-45E4-AD1B-73CAD9582B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發票明細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SF1070807002</dc:creator>
  <cp:lastModifiedBy>共用05</cp:lastModifiedBy>
  <cp:lastPrinted>2026-03-16T03:45:32Z</cp:lastPrinted>
  <dcterms:created xsi:type="dcterms:W3CDTF">2021-04-16T08:58:53Z</dcterms:created>
  <dcterms:modified xsi:type="dcterms:W3CDTF">2026-03-19T02:39:57Z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0x01010010C4D89A48F9404387A2BF42E1EE63B1</vt:lpwstr>
  </property>
  <property fmtid="{D5CDD505-2E9C-101B-9397-08002B2CF9AE}" pid="3" name="MediaServiceImageTags">
    <vt:lpwstr/>
  </property>
</Properties>
</file>